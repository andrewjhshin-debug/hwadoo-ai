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75abf1c34846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공덕표" sheetId="1" r:id="R1f248dfc502a48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b/>
      <x:sz val="16"/>
      <x:color rgb="FF352B2D"/>
      <x:name val="Arial"/>
    </x:font>
    <x:font>
      <x:i/>
      <x:sz val="10"/>
      <x:color rgb="FF7A6C67"/>
      <x:name val="Arial"/>
    </x:font>
    <x:font>
      <x:b/>
      <x:sz val="11"/>
      <x:color rgb="FFFFFFFF"/>
      <x:name val="Arial"/>
    </x:font>
    <x:font>
      <x:sz val="10"/>
      <x:color rgb="FF352B2D"/>
      <x:name val="Arial"/>
    </x:font>
    <x:font>
      <x:b/>
      <x:sz val="11"/>
      <x:color rgb="FF7D3156"/>
      <x:name val="Arial"/>
    </x:font>
    <x:font>
      <x:b/>
      <x:sz val="10"/>
      <x:color rgb="FF674B0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A54F75"/>
      </x:patternFill>
    </x:fill>
    <x:fill>
      <x:patternFill patternType="solid">
        <x:fgColor rgb="FFF7E6EC"/>
      </x:patternFill>
    </x:fill>
    <x:fill>
      <x:patternFill patternType="solid">
        <x:fgColor rgb="FF5E756E"/>
      </x:patternFill>
    </x:fill>
    <x:fill>
      <x:patternFill patternType="solid">
        <x:fgColor rgb="FFF5E3A8"/>
      </x:patternFill>
    </x:fill>
  </x:fills>
  <x:borders count="5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798B2"/>
      </x:left>
      <x:top style="thin">
        <x:color rgb="FFD798B2"/>
      </x:top>
      <x:bottom style="thin">
        <x:color rgb="FFD798B2"/>
      </x:bottom>
    </x:border>
    <x:border>
      <x:top style="thin">
        <x:color rgb="FFD798B2"/>
      </x:top>
      <x:bottom style="thin">
        <x:color rgb="FFD798B2"/>
      </x:bottom>
    </x:border>
    <x:border>
      <x:right style="thin">
        <x:color rgb="FFD798B2"/>
      </x:right>
      <x:top style="thin">
        <x:color rgb="FFD798B2"/>
      </x:top>
      <x:bottom style="thin">
        <x:color rgb="FFD798B2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2" xfId="0" applyNumberFormat="1" applyFont="1" applyFill="1" applyBorder="1"/>
    <x:xf numFmtId="0" fontId="5" fillId="3" borderId="3" xfId="0" applyNumberFormat="1" applyFont="1" applyFill="1" applyBorder="1"/>
    <x:xf numFmtId="0" fontId="5" fillId="3" borderId="4" xfId="0" applyNumberFormat="1" applyFont="1" applyFill="1" applyBorder="1"/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200" fontId="5" fillId="3" borderId="3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200" fontId="4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20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f7895e45824f49" /><Relationship Type="http://schemas.openxmlformats.org/officeDocument/2006/relationships/theme" Target="/xl/theme/theme1.xml" Id="R1cdfe0c574484260" /><Relationship Type="http://schemas.openxmlformats.org/officeDocument/2006/relationships/sharedStrings" Target="/xl/sharedStrings.xml" Id="Rd6e6c2eb2cc047d9" /><Relationship Type="http://schemas.openxmlformats.org/officeDocument/2006/relationships/worksheet" Target="/xl/worksheets/sheet1.xml" Id="R1f248dfc502a48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A54F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1.25" hidden="0" customWidth="1"/>
    <x:col min="3" max="3" width="11.25" hidden="0" customWidth="1"/>
    <x:col min="4" max="4" width="14.380000114440918" hidden="0" customWidth="1"/>
    <x:col min="5" max="5" width="11.880000114440918" hidden="0" customWidth="1"/>
    <x:col min="6" max="6" width="13.75" hidden="0" customWidth="1"/>
    <x:col min="7" max="7" width="21.8799991607666" hidden="0" customWidth="1"/>
  </x:cols>
  <x:sheetData>
    <x:row r="1" ht="21" customHeight="1">
      <x:c r="A1" s="2" t="str">
        <x:v>공덕 재산정표</x:v>
      </x:c>
    </x:row>
    <x:row r="2" ht="16.5" customHeight="1">
      <x:c r="A2" s="3"/>
    </x:row>
    <x:row r="4" ht="18" customHeight="1">
      <x:c r="A4" s="8" t="str">
        <x:v>수행</x:v>
      </x:c>
      <x:c r="B4" s="8" t="str">
        <x:v>적립 단위</x:v>
      </x:c>
      <x:c r="C4" s="8" t="str">
        <x:v>1회 공덕</x:v>
      </x:c>
      <x:c r="D4" s="8" t="str">
        <x:v>일반 소요</x:v>
      </x:c>
      <x:c r="E4" s="8" t="str">
        <x:v>분당 환산</x:v>
      </x:c>
      <x:c r="F4" s="8" t="str">
        <x:v>갈래 일일 상한</x:v>
      </x:c>
      <x:c r="G4" s="8" t="str">
        <x:v>상한 기준</x:v>
      </x:c>
    </x:row>
    <x:row r="5" ht="15.75" customHeight="1">
      <x:c r="A5" s="10" t="str">
        <x:v>절</x:v>
      </x:c>
      <x:c r="B5" s="10" t="str">
        <x:v>1배</x:v>
      </x:c>
      <x:c r="C5" s="11" t="n">
        <x:v>14</x:v>
      </x:c>
      <x:c r="D5" s="10" t="str">
        <x:v>약 4초</x:v>
      </x:c>
      <x:c r="E5" s="11" t="n">
        <x:v>210</x:v>
      </x:c>
      <x:c r="F5" s="11" t="n">
        <x:v>9720</x:v>
      </x:c>
      <x:c r="G5" s="10" t="str">
        <x:v>백팔배 1.5회 안팎</x:v>
      </x:c>
    </x:row>
    <x:row r="6" ht="15.75" customHeight="1">
      <x:c r="A6" s="10" t="str">
        <x:v>호흡 명상</x:v>
      </x:c>
      <x:c r="B6" s="10" t="str">
        <x:v>한 식</x:v>
      </x:c>
      <x:c r="C6" s="11" t="n">
        <x:v>42</x:v>
      </x:c>
      <x:c r="D6" s="10" t="str">
        <x:v>10초</x:v>
      </x:c>
      <x:c r="E6" s="11" t="n">
        <x:v>252</x:v>
      </x:c>
      <x:c r="F6" s="11" t="n">
        <x:v>4860</x:v>
      </x:c>
      <x:c r="G6" s="10" t="str">
        <x:v>약 19분</x:v>
      </x:c>
    </x:row>
    <x:row r="7" ht="15.75" customHeight="1">
      <x:c r="A7" s="10" t="str">
        <x:v>경전 외우기</x:v>
      </x:c>
      <x:c r="B7" s="10" t="str">
        <x:v>한 마디</x:v>
      </x:c>
      <x:c r="C7" s="11" t="n">
        <x:v>108</x:v>
      </x:c>
      <x:c r="D7" s="10" t="str">
        <x:v>약 30초</x:v>
      </x:c>
      <x:c r="E7" s="11" t="n">
        <x:v>216</x:v>
      </x:c>
      <x:c r="F7" s="11" t="n">
        <x:v>8100</x:v>
      </x:c>
      <x:c r="G7" s="10" t="str">
        <x:v>약 38분</x:v>
      </x:c>
    </x:row>
    <x:row r="8" ht="15.75" customHeight="1">
      <x:c r="A8" s="10" t="str">
        <x:v>목탁</x:v>
      </x:c>
      <x:c r="B8" s="10" t="str">
        <x:v>1타</x:v>
      </x:c>
      <x:c r="C8" s="11" t="n">
        <x:v>6</x:v>
      </x:c>
      <x:c r="D8" s="10" t="str">
        <x:v>약 0.8초</x:v>
      </x:c>
      <x:c r="E8" s="11" t="n">
        <x:v>450</x:v>
      </x:c>
      <x:c r="F8" s="11" t="n">
        <x:v>21600</x:v>
      </x:c>
      <x:c r="G8" s="10" t="str">
        <x:v>약 48분</x:v>
      </x:c>
    </x:row>
    <x:row r="9" ht="15.75" customHeight="1">
      <x:c r="A9" s="10" t="str">
        <x:v>염주</x:v>
      </x:c>
      <x:c r="B9" s="10" t="str">
        <x:v>한 알</x:v>
      </x:c>
      <x:c r="C9" s="11" t="n">
        <x:v>6</x:v>
      </x:c>
      <x:c r="D9" s="10" t="str">
        <x:v>약 1초</x:v>
      </x:c>
      <x:c r="E9" s="11" t="n">
        <x:v>360</x:v>
      </x:c>
      <x:c r="F9" s="11" t="n">
        <x:v>21600</x:v>
      </x:c>
      <x:c r="G9" s="10" t="str">
        <x:v>약 60분</x:v>
      </x:c>
    </x:row>
    <x:row r="10" ht="15.75" customHeight="1">
      <x:c r="A10" s="10" t="str">
        <x:v>싱잉볼</x:v>
      </x:c>
      <x:c r="B10" s="10" t="str">
        <x:v>1회</x:v>
      </x:c>
      <x:c r="C10" s="11" t="n">
        <x:v>42</x:v>
      </x:c>
      <x:c r="D10" s="10" t="str">
        <x:v>약 15초</x:v>
      </x:c>
      <x:c r="E10" s="11" t="n">
        <x:v>168</x:v>
      </x:c>
      <x:c r="F10" s="11" t="n">
        <x:v>2430</x:v>
      </x:c>
      <x:c r="G10" s="10" t="str">
        <x:v>약 15분</x:v>
      </x:c>
    </x:row>
    <x:row r="11" ht="15.75" customHeight="1">
      <x:c r="A11" s="10" t="str">
        <x:v>만다라</x:v>
      </x:c>
      <x:c r="B11" s="10" t="str">
        <x:v>1장</x:v>
      </x:c>
      <x:c r="C11" s="11" t="n">
        <x:v>1080</x:v>
      </x:c>
      <x:c r="D11" s="10" t="str">
        <x:v>약 20분</x:v>
      </x:c>
      <x:c r="E11" s="11" t="n">
        <x:v>54</x:v>
      </x:c>
      <x:c r="F11" s="11" t="n">
        <x:v>5400</x:v>
      </x:c>
      <x:c r="G11" s="10" t="str">
        <x:v>하루 5장</x:v>
      </x:c>
    </x:row>
    <x:row r="12" ht="15.75" customHeight="1">
      <x:c r="A12" s="10" t="str">
        <x:v>하심</x:v>
      </x:c>
      <x:c r="B12" s="10" t="str">
        <x:v>1회</x:v>
      </x:c>
      <x:c r="C12" s="11" t="n">
        <x:v>216</x:v>
      </x:c>
      <x:c r="D12" s="10" t="str">
        <x:v>약 2분</x:v>
      </x:c>
      <x:c r="E12" s="11" t="n">
        <x:v>108</x:v>
      </x:c>
      <x:c r="F12" s="11" t="n">
        <x:v>2160</x:v>
      </x:c>
      <x:c r="G12" s="10" t="str">
        <x:v>하루 10회</x:v>
      </x:c>
    </x:row>
    <x:row r="13" ht="15.75" customHeight="1">
      <x:c r="A13" s="10" t="str">
        <x:v>멍</x:v>
      </x:c>
      <x:c r="B13" s="10" t="str">
        <x:v>1분</x:v>
      </x:c>
      <x:c r="C13" s="11" t="n">
        <x:v>84</x:v>
      </x:c>
      <x:c r="D13" s="10" t="str">
        <x:v>1분</x:v>
      </x:c>
      <x:c r="E13" s="11" t="n">
        <x:v>84</x:v>
      </x:c>
      <x:c r="F13" s="11" t="n">
        <x:v>3150</x:v>
      </x:c>
      <x:c r="G13" s="10" t="str">
        <x:v>약 38분</x:v>
      </x:c>
    </x:row>
    <x:row r="14" ht="15.75" customHeight="1">
      <x:c r="A14" s="10" t="str">
        <x:v>돌탑</x:v>
      </x:c>
      <x:c r="B14" s="10" t="str">
        <x:v>5돌 완주</x:v>
      </x:c>
      <x:c r="C14" s="11" t="n">
        <x:v>648</x:v>
      </x:c>
      <x:c r="D14" s="10" t="str">
        <x:v>약 1분</x:v>
      </x:c>
      <x:c r="E14" s="11" t="n">
        <x:v>648</x:v>
      </x:c>
      <x:c r="F14" s="11" t="n">
        <x:v>3240</x:v>
      </x:c>
      <x:c r="G14" s="10" t="str">
        <x:v>하루 5판</x:v>
      </x:c>
    </x:row>
    <x:row r="15" ht="15.75" customHeight="1">
      <x:c r="A15" s="10" t="str">
        <x:v>포행</x:v>
      </x:c>
      <x:c r="B15" s="10" t="str">
        <x:v>100m</x:v>
      </x:c>
      <x:c r="C15" s="11" t="n">
        <x:v>432</x:v>
      </x:c>
      <x:c r="D15" s="10" t="str">
        <x:v>약 1.2분</x:v>
      </x:c>
      <x:c r="E15" s="11" t="n">
        <x:v>360</x:v>
      </x:c>
      <x:c r="F15" s="11" t="n">
        <x:v>21600</x:v>
      </x:c>
      <x:c r="G15" s="10" t="str">
        <x:v>약 5km</x:v>
      </x:c>
    </x:row>
    <x:row r="16" ht="15.75" customHeight="1">
      <x:c r="A16" s="10" t="str">
        <x:v>화두 회향</x:v>
      </x:c>
      <x:c r="B16" s="10" t="str">
        <x:v>1회</x:v>
      </x:c>
      <x:c r="C16" s="11" t="n">
        <x:v>216</x:v>
      </x:c>
      <x:c r="D16" s="10" t="str">
        <x:v>약 3분</x:v>
      </x:c>
      <x:c r="E16" s="11" t="n">
        <x:v>72</x:v>
      </x:c>
      <x:c r="F16" s="11" t="n">
        <x:v>3240</x:v>
      </x:c>
      <x:c r="G16" s="10" t="str">
        <x:v>하루 15회</x:v>
      </x:c>
    </x:row>
    <x:row r="17" ht="15.75" customHeight="1">
      <x:c r="A17" s="10" t="str">
        <x:v>오늘의 세 가지</x:v>
      </x:c>
      <x:c r="B17" s="10" t="str">
        <x:v>완료</x:v>
      </x:c>
      <x:c r="C17" s="11" t="n">
        <x:v>2160</x:v>
      </x:c>
      <x:c r="D17" s="10" t="str">
        <x:v>약 15분</x:v>
      </x:c>
      <x:c r="E17" s="11" t="n">
        <x:v>144</x:v>
      </x:c>
      <x:c r="F17" s="11" t="n">
        <x:v>2160</x:v>
      </x:c>
      <x:c r="G17" s="10" t="str">
        <x:v>하루 1회</x:v>
      </x:c>
    </x:row>
    <x:row r="18" ht="15.75" customHeight="1">
      <x:c r="A18" s="10" t="str">
        <x:v>절 다녀오기</x:v>
      </x:c>
      <x:c r="B18" s="10" t="str">
        <x:v>1회</x:v>
      </x:c>
      <x:c r="C18" s="11" t="n">
        <x:v>216</x:v>
      </x:c>
      <x:c r="D18" s="10" t="str">
        <x:v>방문</x:v>
      </x:c>
      <x:c r="E18" s="11"/>
      <x:c r="F18" s="11" t="n">
        <x:v>4320</x:v>
      </x:c>
      <x:c r="G18" s="10" t="str">
        <x:v>하루 20회</x:v>
      </x:c>
    </x:row>
    <x:row r="19" ht="15.75" customHeight="1">
      <x:c r="A19" s="10" t="str">
        <x:v>인연</x:v>
      </x:c>
      <x:c r="B19" s="10" t="str">
        <x:v>글·댓글</x:v>
      </x:c>
      <x:c r="C19" s="11" t="n">
        <x:v>42</x:v>
      </x:c>
      <x:c r="D19" s="10" t="str">
        <x:v>약 40초</x:v>
      </x:c>
      <x:c r="E19" s="11" t="n">
        <x:v>63</x:v>
      </x:c>
      <x:c r="F19" s="11" t="n">
        <x:v>1620</x:v>
      </x:c>
      <x:c r="G19" s="10" t="str">
        <x:v>하루 39회</x:v>
      </x:c>
    </x:row>
    <x:row r="20" ht="15.75" customHeight="1">
      <x:c r="A20" s="10" t="str">
        <x:v>시절인연</x:v>
      </x:c>
      <x:c r="B20" s="10" t="str">
        <x:v>사진 1장</x:v>
      </x:c>
      <x:c r="C20" s="11" t="n">
        <x:v>108</x:v>
      </x:c>
      <x:c r="D20" s="10" t="str">
        <x:v>방문</x:v>
      </x:c>
      <x:c r="E20" s="11"/>
      <x:c r="F20" s="11" t="n">
        <x:v>4320</x:v>
      </x:c>
      <x:c r="G20" s="10" t="str">
        <x:v>하루 40장</x:v>
      </x:c>
    </x:row>
    <x:row r="21" ht="15.75" customHeight="1">
      <x:c r="A21" s="10" t="str">
        <x:v>초 공양</x:v>
      </x:c>
      <x:c r="B21" s="10" t="str">
        <x:v>손 모음</x:v>
      </x:c>
      <x:c r="C21" s="11" t="n">
        <x:v>18</x:v>
      </x:c>
      <x:c r="D21" s="10" t="str">
        <x:v>약 1분</x:v>
      </x:c>
      <x:c r="E21" s="11" t="n">
        <x:v>18</x:v>
      </x:c>
      <x:c r="F21" s="11" t="n">
        <x:v>810</x:v>
      </x:c>
      <x:c r="G21" s="10" t="str">
        <x:v>하루 45회</x:v>
      </x:c>
    </x:row>
    <x:row r="22" ht="15.75" customHeight="1">
      <x:c r="A22" s="10" t="str">
        <x:v>오늘의 운세</x:v>
      </x:c>
      <x:c r="B22" s="10" t="str">
        <x:v>1장</x:v>
      </x:c>
      <x:c r="C22" s="11" t="n">
        <x:v>42</x:v>
      </x:c>
      <x:c r="D22" s="10" t="str">
        <x:v>하루 1회</x:v>
      </x:c>
      <x:c r="E22" s="11"/>
      <x:c r="F22" s="11" t="n">
        <x:v>210</x:v>
      </x:c>
      <x:c r="G22" s="10" t="str">
        <x:v>하루 1장</x:v>
      </x:c>
    </x:row>
    <x:row r="23" ht="15.75" customHeight="1">
      <x:c r="A23" s="10" t="str">
        <x:v>키캡</x:v>
      </x:c>
      <x:c r="B23" s="10" t="str">
        <x:v>1회</x:v>
      </x:c>
      <x:c r="C23" s="11" t="n">
        <x:v>6</x:v>
      </x:c>
      <x:c r="D23" s="10" t="str">
        <x:v>즉시</x:v>
      </x:c>
      <x:c r="E23" s="11"/>
      <x:c r="F23" s="11" t="n">
        <x:v>21600</x:v>
      </x:c>
      <x:c r="G23" s="10" t="str">
        <x:v>연타만으로는 비추천</x:v>
      </x:c>
    </x:row>
    <x:row r="25" ht="18" customHeight="1">
      <x:c r="A25" s="17" t="str">
        <x:v>하루 전체 상한</x:v>
      </x:c>
      <x:c r="B25" s="18" t="str">
        <x:v>연꽃 1송이</x:v>
      </x:c>
      <x:c r="C25" s="20" t="n">
        <x:v>21600</x:v>
      </x:c>
      <x:c r="D25" s="18" t="str">
        <x:v>약 1시간</x:v>
      </x:c>
      <x:c r="E25" s="18" t="str">
        <x:v>갈래별 상한과 별개</x:v>
      </x:c>
      <x:c r="F25" s="18" t="str">
        <x:v>하루 1송이까지 교환</x:v>
      </x:c>
      <x:c r="G25" s="19" t="str">
        <x:v>다음 날 다시 시작</x:v>
      </x:c>
    </x:row>
    <x:row r="28" ht="18" customHeight="1">
      <x:c r="A28" s="24" t="str">
        <x:v>약 1시간 권장 조합</x:v>
      </x:c>
      <x:c r="B28" s="24" t="str">
        <x:v>분</x:v>
      </x:c>
      <x:c r="C28" s="24" t="str">
        <x:v>예상 공덕</x:v>
      </x:c>
      <x:c r="D28" s="24" t="str">
        <x:v>합계</x:v>
      </x:c>
      <x:c r="E28" s="24" t="str">
        <x:v>판정</x:v>
      </x:c>
      <x:c r="F28" s="24" t="str"/>
      <x:c r="G28" s="24" t="str"/>
    </x:row>
    <x:row r="29">
      <x:c r="A29" s="10" t="str">
        <x:v>호흡 명상</x:v>
      </x:c>
      <x:c r="B29" s="10" t="n">
        <x:v>15</x:v>
      </x:c>
      <x:c r="C29" s="11" t="n">
        <x:v>3780</x:v>
      </x:c>
      <x:c r="D29" s="27" t="n">
        <x:f>MIN(SUM(C29:C34),C25)</x:f>
        <x:v>21600</x:v>
      </x:c>
      <x:c r="E29" s="28" t="str">
        <x:f>IF(D29&gt;=C25,"하루치 달성","조금 더 수행")</x:f>
        <x:v>하루치 달성</x:v>
      </x:c>
    </x:row>
    <x:row r="30">
      <x:c r="A30" s="10" t="str">
        <x:v>절</x:v>
      </x:c>
      <x:c r="B30" s="10" t="n">
        <x:v>20</x:v>
      </x:c>
      <x:c r="C30" s="11" t="n">
        <x:v>4200</x:v>
      </x:c>
      <x:c r="D30" s="11" t="str"/>
      <x:c r="E30" s="10" t="str"/>
    </x:row>
    <x:row r="31">
      <x:c r="A31" s="10" t="str">
        <x:v>목탁</x:v>
      </x:c>
      <x:c r="B31" s="10" t="n">
        <x:v>15</x:v>
      </x:c>
      <x:c r="C31" s="11" t="n">
        <x:v>6750</x:v>
      </x:c>
      <x:c r="D31" s="11" t="str"/>
      <x:c r="E31" s="10" t="str"/>
    </x:row>
    <x:row r="32">
      <x:c r="A32" s="10" t="str">
        <x:v>경전 외우기</x:v>
      </x:c>
      <x:c r="B32" s="10" t="n">
        <x:v>8</x:v>
      </x:c>
      <x:c r="C32" s="11" t="n">
        <x:v>1728</x:v>
      </x:c>
      <x:c r="D32" s="11" t="str"/>
      <x:c r="E32" s="10" t="str"/>
    </x:row>
    <x:row r="33">
      <x:c r="A33" s="10" t="str">
        <x:v>돌탑</x:v>
      </x:c>
      <x:c r="B33" s="10" t="n">
        <x:v>5</x:v>
      </x:c>
      <x:c r="C33" s="11" t="n">
        <x:v>3240</x:v>
      </x:c>
      <x:c r="D33" s="11" t="str"/>
      <x:c r="E33" s="10" t="str"/>
    </x:row>
    <x:row r="34">
      <x:c r="A34" s="10" t="str">
        <x:v>오늘의 세 가지</x:v>
      </x:c>
      <x:c r="B34" s="10" t="n">
        <x:v>1</x:v>
      </x:c>
      <x:c r="C34" s="11" t="n">
        <x:v>2160</x:v>
      </x:c>
      <x:c r="D34" s="11" t="str"/>
      <x:c r="E34" s="10" t="str"/>
    </x:row>
  </x:sheetData>
  <x:pageMargins left="0.7" right="0.7" top="0.75" bottom="0.75" header="0.3" footer="0.3"/>
</x:worksheet>
</file>